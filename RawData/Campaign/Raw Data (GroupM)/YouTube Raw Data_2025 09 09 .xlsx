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insidemedia.sharepoint.com/sites/xaxsgteam2/Shared Documents/Mediacom/Clients/NYP/2025/Q1 2025 CET Campaign/Report/"/>
    </mc:Choice>
  </mc:AlternateContent>
  <xr:revisionPtr revIDLastSave="55" documentId="11_8A81254E8111C530206D9569A96C9E9EBC607A55" xr6:coauthVersionLast="47" xr6:coauthVersionMax="47" xr10:uidLastSave="{A7A60CBD-8A49-470D-BC88-2ADC66F341AA}"/>
  <bookViews>
    <workbookView xWindow="-108" yWindow="-108" windowWidth="23256" windowHeight="12456" xr2:uid="{00000000-000D-0000-FFFF-FFFF00000000}"/>
  </bookViews>
  <sheets>
    <sheet name="YouTube Ad" sheetId="1" r:id="rId1"/>
    <sheet name="Strategy Dev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" i="1"/>
  <c r="I20" i="1"/>
  <c r="H20" i="1"/>
  <c r="G20" i="1"/>
  <c r="F20" i="1"/>
  <c r="E20" i="1"/>
  <c r="D20" i="1"/>
  <c r="C20" i="1"/>
  <c r="J20" i="1" s="1"/>
  <c r="K26" i="2"/>
  <c r="J26" i="2"/>
  <c r="I26" i="2"/>
  <c r="H26" i="2"/>
  <c r="G26" i="2"/>
  <c r="F26" i="2"/>
  <c r="E26" i="2"/>
  <c r="D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<sst xmlns="http://schemas.openxmlformats.org/spreadsheetml/2006/main" count="129" uniqueCount="41">
  <si>
    <t>Line Item</t>
  </si>
  <si>
    <t>YouTube Ad</t>
  </si>
  <si>
    <t>Impressions</t>
  </si>
  <si>
    <t>Clicks</t>
  </si>
  <si>
    <t>TrueView: Views</t>
  </si>
  <si>
    <t>First-Quartile Views (Video)</t>
  </si>
  <si>
    <t>Midpoint Views (Video)</t>
  </si>
  <si>
    <t>Third-Quartile Views (Video)</t>
  </si>
  <si>
    <t>Complete Views (Video)</t>
  </si>
  <si>
    <t>Affinity_Full Video</t>
  </si>
  <si>
    <t>Affinity_Jeremy</t>
  </si>
  <si>
    <t>Affinity_Nancy</t>
  </si>
  <si>
    <t>Category_Full Video</t>
  </si>
  <si>
    <t>Category_Jeremy</t>
  </si>
  <si>
    <t>Category_Nancy</t>
  </si>
  <si>
    <t>Custom Affinity_Full Video</t>
  </si>
  <si>
    <t>Custom Affinity_Jeremy</t>
  </si>
  <si>
    <t>Custom Affinity_Nancy</t>
  </si>
  <si>
    <t>Detailed Demo_Full Video</t>
  </si>
  <si>
    <t>Detailed Demo_Jeremy</t>
  </si>
  <si>
    <t>Detailed Demo_Nancy</t>
  </si>
  <si>
    <t>In-Market_Full Video</t>
  </si>
  <si>
    <t>In-Market_Jeremy</t>
  </si>
  <si>
    <t>In-Market_Nancy</t>
  </si>
  <si>
    <t>Keywords_Full Video</t>
  </si>
  <si>
    <t>Keywords_Jeremy</t>
  </si>
  <si>
    <t>Keywords_Nancy</t>
  </si>
  <si>
    <t>Insertion Order</t>
  </si>
  <si>
    <t>Device Type</t>
  </si>
  <si>
    <t>Spends</t>
  </si>
  <si>
    <t>XSG25-0049 - NYP - CET Campaign_Youtube Efficient Reach</t>
  </si>
  <si>
    <t>Affinity</t>
  </si>
  <si>
    <t>Connected TV</t>
  </si>
  <si>
    <t>Desktop</t>
  </si>
  <si>
    <t>Smart Phone</t>
  </si>
  <si>
    <t>Tablet</t>
  </si>
  <si>
    <t>Category</t>
  </si>
  <si>
    <t>Custom Affinity</t>
  </si>
  <si>
    <t>Detailed Demo</t>
  </si>
  <si>
    <t>In-Market</t>
  </si>
  <si>
    <t>Keywords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</si>
</sst>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C20" sqref="C20"/>
    </sheetView>
  </sheetViews>
  <sheetFormatPr defaultRowHeight="14.4" x14ac:dyDescent="0.3"/>
  <cols>
    <col min="1" max="1" width="22.88671875" bestFit="1" customWidth="1"/>
    <col min="2" max="2" width="22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29</v>
      </c>
    </row>
    <row r="2" spans="1:10" x14ac:dyDescent="0.3">
      <c r="A2" t="s">
        <v>31</v>
      </c>
      <c r="B2" t="s">
        <v>9</v>
      </c>
      <c r="C2">
        <v>219684</v>
      </c>
      <c r="D2">
        <v>248</v>
      </c>
      <c r="E2">
        <v>11833</v>
      </c>
      <c r="F2">
        <v>5225</v>
      </c>
      <c r="G2">
        <v>3323</v>
      </c>
      <c r="H2">
        <v>2488</v>
      </c>
      <c r="I2">
        <v>1976</v>
      </c>
      <c r="J2">
        <f>C2/1000*9</f>
        <v>1977.1559999999999</v>
      </c>
    </row>
    <row r="3" spans="1:10" x14ac:dyDescent="0.3">
      <c r="A3" t="s">
        <v>31</v>
      </c>
      <c r="B3" t="s">
        <v>10</v>
      </c>
      <c r="C3">
        <v>318025</v>
      </c>
      <c r="D3">
        <v>274</v>
      </c>
      <c r="E3">
        <v>20223</v>
      </c>
      <c r="F3">
        <v>20091</v>
      </c>
      <c r="G3">
        <v>15158</v>
      </c>
      <c r="H3">
        <v>13536</v>
      </c>
      <c r="I3">
        <v>12309</v>
      </c>
      <c r="J3">
        <f t="shared" ref="J3:J20" si="0">C3/1000*9</f>
        <v>2862.2249999999999</v>
      </c>
    </row>
    <row r="4" spans="1:10" x14ac:dyDescent="0.3">
      <c r="A4" t="s">
        <v>31</v>
      </c>
      <c r="B4" t="s">
        <v>11</v>
      </c>
      <c r="C4">
        <v>149168</v>
      </c>
      <c r="D4">
        <v>216</v>
      </c>
      <c r="E4">
        <v>17286</v>
      </c>
      <c r="F4">
        <v>21177</v>
      </c>
      <c r="G4">
        <v>15997</v>
      </c>
      <c r="H4">
        <v>14045</v>
      </c>
      <c r="I4">
        <v>12751</v>
      </c>
      <c r="J4">
        <f t="shared" si="0"/>
        <v>1342.5120000000002</v>
      </c>
    </row>
    <row r="5" spans="1:10" x14ac:dyDescent="0.3">
      <c r="A5" t="s">
        <v>36</v>
      </c>
      <c r="B5" t="s">
        <v>12</v>
      </c>
      <c r="C5">
        <v>21580</v>
      </c>
      <c r="D5">
        <v>43</v>
      </c>
      <c r="E5">
        <v>1500</v>
      </c>
      <c r="F5">
        <v>1213</v>
      </c>
      <c r="G5">
        <v>765</v>
      </c>
      <c r="H5">
        <v>594</v>
      </c>
      <c r="I5">
        <v>473</v>
      </c>
      <c r="J5">
        <f t="shared" si="0"/>
        <v>194.21999999999997</v>
      </c>
    </row>
    <row r="6" spans="1:10" x14ac:dyDescent="0.3">
      <c r="A6" t="s">
        <v>36</v>
      </c>
      <c r="B6" t="s">
        <v>13</v>
      </c>
      <c r="C6">
        <v>32803</v>
      </c>
      <c r="D6">
        <v>37</v>
      </c>
      <c r="E6">
        <v>3110</v>
      </c>
      <c r="F6">
        <v>4111</v>
      </c>
      <c r="G6">
        <v>3078</v>
      </c>
      <c r="H6">
        <v>2757</v>
      </c>
      <c r="I6">
        <v>2499</v>
      </c>
      <c r="J6">
        <f t="shared" si="0"/>
        <v>295.22699999999998</v>
      </c>
    </row>
    <row r="7" spans="1:10" x14ac:dyDescent="0.3">
      <c r="A7" t="s">
        <v>36</v>
      </c>
      <c r="B7" t="s">
        <v>14</v>
      </c>
      <c r="C7">
        <v>30057</v>
      </c>
      <c r="D7">
        <v>41</v>
      </c>
      <c r="E7">
        <v>3314</v>
      </c>
      <c r="F7">
        <v>4488</v>
      </c>
      <c r="G7">
        <v>3318</v>
      </c>
      <c r="H7">
        <v>2932</v>
      </c>
      <c r="I7">
        <v>2651</v>
      </c>
      <c r="J7">
        <f t="shared" si="0"/>
        <v>270.51299999999998</v>
      </c>
    </row>
    <row r="8" spans="1:10" x14ac:dyDescent="0.3">
      <c r="A8" t="s">
        <v>37</v>
      </c>
      <c r="B8" t="s">
        <v>15</v>
      </c>
      <c r="C8">
        <v>122635</v>
      </c>
      <c r="D8">
        <v>200</v>
      </c>
      <c r="E8">
        <v>9887</v>
      </c>
      <c r="F8">
        <v>8141</v>
      </c>
      <c r="G8">
        <v>5257</v>
      </c>
      <c r="H8">
        <v>3950</v>
      </c>
      <c r="I8">
        <v>3150</v>
      </c>
      <c r="J8">
        <f t="shared" si="0"/>
        <v>1103.7150000000001</v>
      </c>
    </row>
    <row r="9" spans="1:10" x14ac:dyDescent="0.3">
      <c r="A9" t="s">
        <v>37</v>
      </c>
      <c r="B9" t="s">
        <v>16</v>
      </c>
      <c r="C9">
        <v>206668</v>
      </c>
      <c r="D9">
        <v>248</v>
      </c>
      <c r="E9">
        <v>24675</v>
      </c>
      <c r="F9">
        <v>30885</v>
      </c>
      <c r="G9">
        <v>23114</v>
      </c>
      <c r="H9">
        <v>20551</v>
      </c>
      <c r="I9">
        <v>18634</v>
      </c>
      <c r="J9">
        <f t="shared" si="0"/>
        <v>1860.0120000000002</v>
      </c>
    </row>
    <row r="10" spans="1:10" x14ac:dyDescent="0.3">
      <c r="A10" t="s">
        <v>37</v>
      </c>
      <c r="B10" t="s">
        <v>17</v>
      </c>
      <c r="C10">
        <v>146385</v>
      </c>
      <c r="D10">
        <v>221</v>
      </c>
      <c r="E10">
        <v>22742</v>
      </c>
      <c r="F10">
        <v>29484</v>
      </c>
      <c r="G10">
        <v>22605</v>
      </c>
      <c r="H10">
        <v>19969</v>
      </c>
      <c r="I10">
        <v>18127</v>
      </c>
      <c r="J10">
        <f t="shared" si="0"/>
        <v>1317.4649999999999</v>
      </c>
    </row>
    <row r="11" spans="1:10" x14ac:dyDescent="0.3">
      <c r="A11" t="s">
        <v>38</v>
      </c>
      <c r="B11" t="s">
        <v>18</v>
      </c>
      <c r="C11">
        <v>8764</v>
      </c>
      <c r="D11">
        <v>14</v>
      </c>
      <c r="E11">
        <v>553</v>
      </c>
      <c r="F11">
        <v>519</v>
      </c>
      <c r="G11">
        <v>290</v>
      </c>
      <c r="H11">
        <v>207</v>
      </c>
      <c r="I11">
        <v>167</v>
      </c>
      <c r="J11">
        <f t="shared" si="0"/>
        <v>78.875999999999991</v>
      </c>
    </row>
    <row r="12" spans="1:10" x14ac:dyDescent="0.3">
      <c r="A12" t="s">
        <v>38</v>
      </c>
      <c r="B12" t="s">
        <v>19</v>
      </c>
      <c r="C12">
        <v>18186</v>
      </c>
      <c r="D12">
        <v>26</v>
      </c>
      <c r="E12">
        <v>1817</v>
      </c>
      <c r="F12">
        <v>2412</v>
      </c>
      <c r="G12">
        <v>1773</v>
      </c>
      <c r="H12">
        <v>1561</v>
      </c>
      <c r="I12">
        <v>1412</v>
      </c>
      <c r="J12">
        <f t="shared" si="0"/>
        <v>163.67400000000001</v>
      </c>
    </row>
    <row r="13" spans="1:10" x14ac:dyDescent="0.3">
      <c r="A13" t="s">
        <v>38</v>
      </c>
      <c r="B13" t="s">
        <v>20</v>
      </c>
      <c r="C13">
        <v>12674</v>
      </c>
      <c r="D13">
        <v>12</v>
      </c>
      <c r="E13">
        <v>1573</v>
      </c>
      <c r="F13">
        <v>2153</v>
      </c>
      <c r="G13">
        <v>1591</v>
      </c>
      <c r="H13">
        <v>1393</v>
      </c>
      <c r="I13">
        <v>1254</v>
      </c>
      <c r="J13">
        <f t="shared" si="0"/>
        <v>114.066</v>
      </c>
    </row>
    <row r="14" spans="1:10" x14ac:dyDescent="0.3">
      <c r="A14" t="s">
        <v>39</v>
      </c>
      <c r="B14" t="s">
        <v>21</v>
      </c>
      <c r="C14">
        <v>93932</v>
      </c>
      <c r="D14">
        <v>180</v>
      </c>
      <c r="E14">
        <v>7053</v>
      </c>
      <c r="F14">
        <v>4995</v>
      </c>
      <c r="G14">
        <v>3137</v>
      </c>
      <c r="H14">
        <v>2324</v>
      </c>
      <c r="I14">
        <v>1869</v>
      </c>
      <c r="J14">
        <f t="shared" si="0"/>
        <v>845.38800000000003</v>
      </c>
    </row>
    <row r="15" spans="1:10" x14ac:dyDescent="0.3">
      <c r="A15" t="s">
        <v>39</v>
      </c>
      <c r="B15" t="s">
        <v>22</v>
      </c>
      <c r="C15">
        <v>149122</v>
      </c>
      <c r="D15">
        <v>208</v>
      </c>
      <c r="E15">
        <v>16571</v>
      </c>
      <c r="F15">
        <v>19118</v>
      </c>
      <c r="G15">
        <v>14351</v>
      </c>
      <c r="H15">
        <v>12736</v>
      </c>
      <c r="I15">
        <v>11552</v>
      </c>
      <c r="J15">
        <f t="shared" si="0"/>
        <v>1342.0980000000002</v>
      </c>
    </row>
    <row r="16" spans="1:10" x14ac:dyDescent="0.3">
      <c r="A16" t="s">
        <v>39</v>
      </c>
      <c r="B16" t="s">
        <v>23</v>
      </c>
      <c r="C16">
        <v>95307</v>
      </c>
      <c r="D16">
        <v>181</v>
      </c>
      <c r="E16">
        <v>14377</v>
      </c>
      <c r="F16">
        <v>18786</v>
      </c>
      <c r="G16">
        <v>14239</v>
      </c>
      <c r="H16">
        <v>12574</v>
      </c>
      <c r="I16">
        <v>11404</v>
      </c>
      <c r="J16">
        <f t="shared" si="0"/>
        <v>857.76300000000003</v>
      </c>
    </row>
    <row r="17" spans="1:10" x14ac:dyDescent="0.3">
      <c r="A17" t="s">
        <v>40</v>
      </c>
      <c r="B17" t="s">
        <v>24</v>
      </c>
      <c r="C17">
        <v>13356</v>
      </c>
      <c r="D17">
        <v>10</v>
      </c>
      <c r="E17">
        <v>889</v>
      </c>
      <c r="F17">
        <v>746</v>
      </c>
      <c r="G17">
        <v>460</v>
      </c>
      <c r="H17">
        <v>349</v>
      </c>
      <c r="I17">
        <v>258</v>
      </c>
      <c r="J17">
        <f t="shared" si="0"/>
        <v>120.20399999999999</v>
      </c>
    </row>
    <row r="18" spans="1:10" x14ac:dyDescent="0.3">
      <c r="A18" t="s">
        <v>40</v>
      </c>
      <c r="B18" t="s">
        <v>25</v>
      </c>
      <c r="C18">
        <v>22972</v>
      </c>
      <c r="D18">
        <v>13</v>
      </c>
      <c r="E18">
        <v>2232</v>
      </c>
      <c r="F18">
        <v>2950</v>
      </c>
      <c r="G18">
        <v>2187</v>
      </c>
      <c r="H18">
        <v>1968</v>
      </c>
      <c r="I18">
        <v>1773</v>
      </c>
      <c r="J18">
        <f t="shared" si="0"/>
        <v>206.74800000000002</v>
      </c>
    </row>
    <row r="19" spans="1:10" x14ac:dyDescent="0.3">
      <c r="A19" t="s">
        <v>40</v>
      </c>
      <c r="B19" t="s">
        <v>26</v>
      </c>
      <c r="C19">
        <v>19447</v>
      </c>
      <c r="D19">
        <v>15</v>
      </c>
      <c r="E19">
        <v>2297</v>
      </c>
      <c r="F19">
        <v>3047</v>
      </c>
      <c r="G19">
        <v>2312</v>
      </c>
      <c r="H19">
        <v>2053</v>
      </c>
      <c r="I19">
        <v>1865</v>
      </c>
      <c r="J19">
        <f t="shared" si="0"/>
        <v>175.023</v>
      </c>
    </row>
    <row r="20" spans="1:10" x14ac:dyDescent="0.3">
      <c r="C20">
        <f>SUM(C2:C19)</f>
        <v>1680765</v>
      </c>
      <c r="D20">
        <f t="shared" ref="D20:I20" si="1">SUM(D2:D19)</f>
        <v>2187</v>
      </c>
      <c r="E20">
        <f t="shared" si="1"/>
        <v>161932</v>
      </c>
      <c r="F20">
        <f t="shared" si="1"/>
        <v>179541</v>
      </c>
      <c r="G20">
        <f t="shared" si="1"/>
        <v>132955</v>
      </c>
      <c r="H20">
        <f t="shared" si="1"/>
        <v>115987</v>
      </c>
      <c r="I20">
        <f t="shared" si="1"/>
        <v>104124</v>
      </c>
      <c r="J20">
        <f t="shared" si="0"/>
        <v>15126.885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C7F83-439B-41A7-9411-919C72AE7588}">
  <dimension ref="A1:K26"/>
  <sheetViews>
    <sheetView workbookViewId="0">
      <selection activeCell="D22" sqref="D22"/>
    </sheetView>
  </sheetViews>
  <sheetFormatPr defaultRowHeight="14.4" x14ac:dyDescent="0.3"/>
  <sheetData>
    <row r="1" spans="1:11" x14ac:dyDescent="0.3">
      <c r="A1" s="1" t="s">
        <v>27</v>
      </c>
      <c r="B1" s="1" t="s">
        <v>0</v>
      </c>
      <c r="C1" s="1" t="s">
        <v>28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29</v>
      </c>
    </row>
    <row r="2" spans="1:11" x14ac:dyDescent="0.3">
      <c r="A2" s="1" t="s">
        <v>30</v>
      </c>
      <c r="B2" s="1" t="s">
        <v>31</v>
      </c>
      <c r="C2" s="1" t="s">
        <v>32</v>
      </c>
      <c r="D2" s="1">
        <v>80790</v>
      </c>
      <c r="E2" s="1">
        <v>14</v>
      </c>
      <c r="F2" s="1">
        <v>14574</v>
      </c>
      <c r="G2" s="1">
        <v>14983</v>
      </c>
      <c r="H2" s="1">
        <v>11778</v>
      </c>
      <c r="I2" s="1">
        <v>10408</v>
      </c>
      <c r="J2" s="1">
        <v>9412</v>
      </c>
      <c r="K2" s="1">
        <f>D2/1000*9</f>
        <v>727.11</v>
      </c>
    </row>
    <row r="3" spans="1:11" x14ac:dyDescent="0.3">
      <c r="A3" s="1" t="s">
        <v>30</v>
      </c>
      <c r="B3" s="1" t="s">
        <v>31</v>
      </c>
      <c r="C3" s="1" t="s">
        <v>33</v>
      </c>
      <c r="D3" s="1">
        <v>96147</v>
      </c>
      <c r="E3" s="1">
        <v>18</v>
      </c>
      <c r="F3" s="1">
        <v>5416</v>
      </c>
      <c r="G3" s="1">
        <v>6642</v>
      </c>
      <c r="H3" s="1">
        <v>5294</v>
      </c>
      <c r="I3" s="1">
        <v>4829</v>
      </c>
      <c r="J3" s="1">
        <v>4436</v>
      </c>
      <c r="K3" s="1">
        <f t="shared" ref="K3:K26" si="0">D3/1000*9</f>
        <v>865.32300000000009</v>
      </c>
    </row>
    <row r="4" spans="1:11" x14ac:dyDescent="0.3">
      <c r="A4" s="1" t="s">
        <v>30</v>
      </c>
      <c r="B4" s="1" t="s">
        <v>31</v>
      </c>
      <c r="C4" s="1" t="s">
        <v>34</v>
      </c>
      <c r="D4" s="1">
        <v>450626</v>
      </c>
      <c r="E4" s="1">
        <v>686</v>
      </c>
      <c r="F4" s="1">
        <v>26954</v>
      </c>
      <c r="G4" s="1">
        <v>21765</v>
      </c>
      <c r="H4" s="1">
        <v>15176</v>
      </c>
      <c r="I4" s="1">
        <v>12901</v>
      </c>
      <c r="J4" s="1">
        <v>11472</v>
      </c>
      <c r="K4" s="1">
        <f t="shared" si="0"/>
        <v>4055.634</v>
      </c>
    </row>
    <row r="5" spans="1:11" x14ac:dyDescent="0.3">
      <c r="A5" s="1" t="s">
        <v>30</v>
      </c>
      <c r="B5" s="1" t="s">
        <v>31</v>
      </c>
      <c r="C5" s="1" t="s">
        <v>35</v>
      </c>
      <c r="D5" s="1">
        <v>59314</v>
      </c>
      <c r="E5" s="1">
        <v>20</v>
      </c>
      <c r="F5" s="1">
        <v>2398</v>
      </c>
      <c r="G5" s="1">
        <v>3103</v>
      </c>
      <c r="H5" s="1">
        <v>2230</v>
      </c>
      <c r="I5" s="1">
        <v>1931</v>
      </c>
      <c r="J5" s="1">
        <v>1716</v>
      </c>
      <c r="K5" s="1">
        <f t="shared" si="0"/>
        <v>533.82600000000002</v>
      </c>
    </row>
    <row r="6" spans="1:11" x14ac:dyDescent="0.3">
      <c r="A6" s="1" t="s">
        <v>30</v>
      </c>
      <c r="B6" s="1" t="s">
        <v>36</v>
      </c>
      <c r="C6" s="1" t="s">
        <v>32</v>
      </c>
      <c r="D6" s="1">
        <v>14222</v>
      </c>
      <c r="E6" s="1">
        <v>4</v>
      </c>
      <c r="F6" s="1">
        <v>2771</v>
      </c>
      <c r="G6" s="1">
        <v>3359</v>
      </c>
      <c r="H6" s="1">
        <v>2702</v>
      </c>
      <c r="I6" s="1">
        <v>2435</v>
      </c>
      <c r="J6" s="1">
        <v>2220</v>
      </c>
      <c r="K6" s="1">
        <f t="shared" si="0"/>
        <v>127.99799999999999</v>
      </c>
    </row>
    <row r="7" spans="1:11" x14ac:dyDescent="0.3">
      <c r="A7" s="1" t="s">
        <v>30</v>
      </c>
      <c r="B7" s="1" t="s">
        <v>36</v>
      </c>
      <c r="C7" s="1" t="s">
        <v>33</v>
      </c>
      <c r="D7" s="1">
        <v>11623</v>
      </c>
      <c r="E7" s="1">
        <v>6</v>
      </c>
      <c r="F7" s="1">
        <v>986</v>
      </c>
      <c r="G7" s="1">
        <v>1413</v>
      </c>
      <c r="H7" s="1">
        <v>1050</v>
      </c>
      <c r="I7" s="1">
        <v>924</v>
      </c>
      <c r="J7" s="1">
        <v>808</v>
      </c>
      <c r="K7" s="1">
        <f t="shared" si="0"/>
        <v>104.607</v>
      </c>
    </row>
    <row r="8" spans="1:11" x14ac:dyDescent="0.3">
      <c r="A8" s="1" t="s">
        <v>30</v>
      </c>
      <c r="B8" s="1" t="s">
        <v>36</v>
      </c>
      <c r="C8" s="1" t="s">
        <v>34</v>
      </c>
      <c r="D8" s="1">
        <v>49050</v>
      </c>
      <c r="E8" s="1">
        <v>106</v>
      </c>
      <c r="F8" s="1">
        <v>3644</v>
      </c>
      <c r="G8" s="1">
        <v>4341</v>
      </c>
      <c r="H8" s="1">
        <v>2952</v>
      </c>
      <c r="I8" s="1">
        <v>2538</v>
      </c>
      <c r="J8" s="1">
        <v>2271</v>
      </c>
      <c r="K8" s="1">
        <f t="shared" si="0"/>
        <v>441.45</v>
      </c>
    </row>
    <row r="9" spans="1:11" x14ac:dyDescent="0.3">
      <c r="A9" s="1" t="s">
        <v>30</v>
      </c>
      <c r="B9" s="1" t="s">
        <v>36</v>
      </c>
      <c r="C9" s="1" t="s">
        <v>35</v>
      </c>
      <c r="D9" s="1">
        <v>9545</v>
      </c>
      <c r="E9" s="1">
        <v>5</v>
      </c>
      <c r="F9" s="1">
        <v>523</v>
      </c>
      <c r="G9" s="1">
        <v>699</v>
      </c>
      <c r="H9" s="1">
        <v>457</v>
      </c>
      <c r="I9" s="1">
        <v>386</v>
      </c>
      <c r="J9" s="1">
        <v>324</v>
      </c>
      <c r="K9" s="1">
        <f t="shared" si="0"/>
        <v>85.905000000000001</v>
      </c>
    </row>
    <row r="10" spans="1:11" x14ac:dyDescent="0.3">
      <c r="A10" s="1" t="s">
        <v>30</v>
      </c>
      <c r="B10" s="1" t="s">
        <v>37</v>
      </c>
      <c r="C10" s="1" t="s">
        <v>32</v>
      </c>
      <c r="D10" s="1">
        <v>73716</v>
      </c>
      <c r="E10" s="1">
        <v>15</v>
      </c>
      <c r="F10" s="1">
        <v>14820</v>
      </c>
      <c r="G10" s="1">
        <v>17039</v>
      </c>
      <c r="H10" s="1">
        <v>13522</v>
      </c>
      <c r="I10" s="1">
        <v>12067</v>
      </c>
      <c r="J10" s="1">
        <v>10904</v>
      </c>
      <c r="K10" s="1">
        <f t="shared" si="0"/>
        <v>663.44399999999996</v>
      </c>
    </row>
    <row r="11" spans="1:11" x14ac:dyDescent="0.3">
      <c r="A11" s="1" t="s">
        <v>30</v>
      </c>
      <c r="B11" s="1" t="s">
        <v>37</v>
      </c>
      <c r="C11" s="1" t="s">
        <v>33</v>
      </c>
      <c r="D11" s="1">
        <v>67993</v>
      </c>
      <c r="E11" s="1">
        <v>37</v>
      </c>
      <c r="F11" s="1">
        <v>8307</v>
      </c>
      <c r="G11" s="1">
        <v>10827</v>
      </c>
      <c r="H11" s="1">
        <v>8467</v>
      </c>
      <c r="I11" s="1">
        <v>7609</v>
      </c>
      <c r="J11" s="1">
        <v>6909</v>
      </c>
      <c r="K11" s="1">
        <f t="shared" si="0"/>
        <v>611.9369999999999</v>
      </c>
    </row>
    <row r="12" spans="1:11" x14ac:dyDescent="0.3">
      <c r="A12" s="1" t="s">
        <v>30</v>
      </c>
      <c r="B12" s="1" t="s">
        <v>37</v>
      </c>
      <c r="C12" s="1" t="s">
        <v>34</v>
      </c>
      <c r="D12" s="1">
        <v>294114</v>
      </c>
      <c r="E12" s="1">
        <v>589</v>
      </c>
      <c r="F12" s="1">
        <v>30580</v>
      </c>
      <c r="G12" s="1">
        <v>35946</v>
      </c>
      <c r="H12" s="1">
        <v>25578</v>
      </c>
      <c r="I12" s="1">
        <v>21795</v>
      </c>
      <c r="J12" s="1">
        <v>19429</v>
      </c>
      <c r="K12" s="1">
        <f t="shared" si="0"/>
        <v>2647.0259999999998</v>
      </c>
    </row>
    <row r="13" spans="1:11" x14ac:dyDescent="0.3">
      <c r="A13" s="1" t="s">
        <v>30</v>
      </c>
      <c r="B13" s="1" t="s">
        <v>37</v>
      </c>
      <c r="C13" s="1" t="s">
        <v>35</v>
      </c>
      <c r="D13" s="1">
        <v>39865</v>
      </c>
      <c r="E13" s="1">
        <v>28</v>
      </c>
      <c r="F13" s="1">
        <v>3597</v>
      </c>
      <c r="G13" s="1">
        <v>4698</v>
      </c>
      <c r="H13" s="1">
        <v>3409</v>
      </c>
      <c r="I13" s="1">
        <v>2999</v>
      </c>
      <c r="J13" s="1">
        <v>2669</v>
      </c>
      <c r="K13" s="1">
        <f t="shared" si="0"/>
        <v>358.78500000000003</v>
      </c>
    </row>
    <row r="14" spans="1:11" x14ac:dyDescent="0.3">
      <c r="A14" s="1" t="s">
        <v>30</v>
      </c>
      <c r="B14" s="1" t="s">
        <v>38</v>
      </c>
      <c r="C14" s="1" t="s">
        <v>32</v>
      </c>
      <c r="D14" s="1">
        <v>663</v>
      </c>
      <c r="E14" s="1">
        <v>0</v>
      </c>
      <c r="F14" s="1">
        <v>229</v>
      </c>
      <c r="G14" s="1">
        <v>275</v>
      </c>
      <c r="H14" s="1">
        <v>227</v>
      </c>
      <c r="I14" s="1">
        <v>203</v>
      </c>
      <c r="J14" s="1">
        <v>182</v>
      </c>
      <c r="K14" s="1">
        <f t="shared" si="0"/>
        <v>5.9670000000000005</v>
      </c>
    </row>
    <row r="15" spans="1:11" x14ac:dyDescent="0.3">
      <c r="A15" s="1" t="s">
        <v>30</v>
      </c>
      <c r="B15" s="1" t="s">
        <v>38</v>
      </c>
      <c r="C15" s="1" t="s">
        <v>33</v>
      </c>
      <c r="D15" s="1">
        <v>3579</v>
      </c>
      <c r="E15" s="1">
        <v>2</v>
      </c>
      <c r="F15" s="1">
        <v>436</v>
      </c>
      <c r="G15" s="1">
        <v>582</v>
      </c>
      <c r="H15" s="1">
        <v>452</v>
      </c>
      <c r="I15" s="1">
        <v>413</v>
      </c>
      <c r="J15" s="1">
        <v>382</v>
      </c>
      <c r="K15" s="1">
        <f t="shared" si="0"/>
        <v>32.210999999999999</v>
      </c>
    </row>
    <row r="16" spans="1:11" x14ac:dyDescent="0.3">
      <c r="A16" s="1" t="s">
        <v>30</v>
      </c>
      <c r="B16" s="1" t="s">
        <v>38</v>
      </c>
      <c r="C16" s="1" t="s">
        <v>34</v>
      </c>
      <c r="D16" s="1">
        <v>33116</v>
      </c>
      <c r="E16" s="1">
        <v>49</v>
      </c>
      <c r="F16" s="1">
        <v>3027</v>
      </c>
      <c r="G16" s="1">
        <v>3900</v>
      </c>
      <c r="H16" s="1">
        <v>2732</v>
      </c>
      <c r="I16" s="1">
        <v>2332</v>
      </c>
      <c r="J16" s="1">
        <v>2075</v>
      </c>
      <c r="K16" s="1">
        <f t="shared" si="0"/>
        <v>298.04399999999998</v>
      </c>
    </row>
    <row r="17" spans="1:11" x14ac:dyDescent="0.3">
      <c r="A17" s="1" t="s">
        <v>30</v>
      </c>
      <c r="B17" s="1" t="s">
        <v>38</v>
      </c>
      <c r="C17" s="1" t="s">
        <v>35</v>
      </c>
      <c r="D17" s="1">
        <v>2266</v>
      </c>
      <c r="E17" s="1">
        <v>1</v>
      </c>
      <c r="F17" s="1">
        <v>251</v>
      </c>
      <c r="G17" s="1">
        <v>327</v>
      </c>
      <c r="H17" s="1">
        <v>243</v>
      </c>
      <c r="I17" s="1">
        <v>213</v>
      </c>
      <c r="J17" s="1">
        <v>194</v>
      </c>
      <c r="K17" s="1">
        <f t="shared" si="0"/>
        <v>20.393999999999998</v>
      </c>
    </row>
    <row r="18" spans="1:11" x14ac:dyDescent="0.3">
      <c r="A18" s="1" t="s">
        <v>30</v>
      </c>
      <c r="B18" s="1" t="s">
        <v>39</v>
      </c>
      <c r="C18" s="1" t="s">
        <v>32</v>
      </c>
      <c r="D18" s="1">
        <v>42283</v>
      </c>
      <c r="E18" s="1">
        <v>10</v>
      </c>
      <c r="F18" s="1">
        <v>7990</v>
      </c>
      <c r="G18" s="1">
        <v>8455</v>
      </c>
      <c r="H18" s="1">
        <v>6729</v>
      </c>
      <c r="I18" s="1">
        <v>6035</v>
      </c>
      <c r="J18" s="1">
        <v>5452</v>
      </c>
      <c r="K18" s="1">
        <f t="shared" si="0"/>
        <v>380.54700000000003</v>
      </c>
    </row>
    <row r="19" spans="1:11" x14ac:dyDescent="0.3">
      <c r="A19" s="1" t="s">
        <v>30</v>
      </c>
      <c r="B19" s="1" t="s">
        <v>39</v>
      </c>
      <c r="C19" s="1" t="s">
        <v>33</v>
      </c>
      <c r="D19" s="1">
        <v>38010</v>
      </c>
      <c r="E19" s="1">
        <v>12</v>
      </c>
      <c r="F19" s="1">
        <v>4968</v>
      </c>
      <c r="G19" s="1">
        <v>6314</v>
      </c>
      <c r="H19" s="1">
        <v>5150</v>
      </c>
      <c r="I19" s="1">
        <v>4727</v>
      </c>
      <c r="J19" s="1">
        <v>4376</v>
      </c>
      <c r="K19" s="1">
        <f t="shared" si="0"/>
        <v>342.09</v>
      </c>
    </row>
    <row r="20" spans="1:11" x14ac:dyDescent="0.3">
      <c r="A20" s="1" t="s">
        <v>30</v>
      </c>
      <c r="B20" s="1" t="s">
        <v>39</v>
      </c>
      <c r="C20" s="1" t="s">
        <v>34</v>
      </c>
      <c r="D20" s="1">
        <v>234822</v>
      </c>
      <c r="E20" s="1">
        <v>533</v>
      </c>
      <c r="F20" s="1">
        <v>22819</v>
      </c>
      <c r="G20" s="1">
        <v>25248</v>
      </c>
      <c r="H20" s="1">
        <v>17706</v>
      </c>
      <c r="I20" s="1">
        <v>14995</v>
      </c>
      <c r="J20" s="1">
        <v>13300</v>
      </c>
      <c r="K20" s="1">
        <f t="shared" si="0"/>
        <v>2113.3980000000001</v>
      </c>
    </row>
    <row r="21" spans="1:11" x14ac:dyDescent="0.3">
      <c r="A21" s="1" t="s">
        <v>30</v>
      </c>
      <c r="B21" s="1" t="s">
        <v>39</v>
      </c>
      <c r="C21" s="1" t="s">
        <v>35</v>
      </c>
      <c r="D21" s="1">
        <v>23246</v>
      </c>
      <c r="E21" s="1">
        <v>14</v>
      </c>
      <c r="F21" s="1">
        <v>2224</v>
      </c>
      <c r="G21" s="1">
        <v>2882</v>
      </c>
      <c r="H21" s="1">
        <v>2142</v>
      </c>
      <c r="I21" s="1">
        <v>1877</v>
      </c>
      <c r="J21" s="1">
        <v>1697</v>
      </c>
      <c r="K21" s="1">
        <f t="shared" si="0"/>
        <v>209.214</v>
      </c>
    </row>
    <row r="22" spans="1:11" x14ac:dyDescent="0.3">
      <c r="A22" s="1" t="s">
        <v>30</v>
      </c>
      <c r="B22" s="1" t="s">
        <v>40</v>
      </c>
      <c r="C22" s="1" t="s">
        <v>32</v>
      </c>
      <c r="D22" s="1">
        <v>12311</v>
      </c>
      <c r="E22" s="1">
        <v>3</v>
      </c>
      <c r="F22" s="1">
        <v>2751</v>
      </c>
      <c r="G22" s="1">
        <v>3397</v>
      </c>
      <c r="H22" s="1">
        <v>2631</v>
      </c>
      <c r="I22" s="1">
        <v>2326</v>
      </c>
      <c r="J22" s="1">
        <v>2049</v>
      </c>
      <c r="K22" s="1">
        <f t="shared" si="0"/>
        <v>110.79900000000001</v>
      </c>
    </row>
    <row r="23" spans="1:11" x14ac:dyDescent="0.3">
      <c r="A23" s="1" t="s">
        <v>30</v>
      </c>
      <c r="B23" s="1" t="s">
        <v>40</v>
      </c>
      <c r="C23" s="1" t="s">
        <v>33</v>
      </c>
      <c r="D23" s="1">
        <v>12878</v>
      </c>
      <c r="E23" s="1">
        <v>1</v>
      </c>
      <c r="F23" s="1">
        <v>745</v>
      </c>
      <c r="G23" s="1">
        <v>1020</v>
      </c>
      <c r="H23" s="1">
        <v>745</v>
      </c>
      <c r="I23" s="1">
        <v>670</v>
      </c>
      <c r="J23" s="1">
        <v>607</v>
      </c>
      <c r="K23" s="1">
        <f t="shared" si="0"/>
        <v>115.902</v>
      </c>
    </row>
    <row r="24" spans="1:11" x14ac:dyDescent="0.3">
      <c r="A24" s="1" t="s">
        <v>30</v>
      </c>
      <c r="B24" s="1" t="s">
        <v>40</v>
      </c>
      <c r="C24" s="1" t="s">
        <v>34</v>
      </c>
      <c r="D24" s="1">
        <v>21283</v>
      </c>
      <c r="E24" s="1">
        <v>30</v>
      </c>
      <c r="F24" s="1">
        <v>1563</v>
      </c>
      <c r="G24" s="1">
        <v>1865</v>
      </c>
      <c r="H24" s="1">
        <v>1277</v>
      </c>
      <c r="I24" s="1">
        <v>1114</v>
      </c>
      <c r="J24" s="1">
        <v>1016</v>
      </c>
      <c r="K24" s="1">
        <f t="shared" si="0"/>
        <v>191.54700000000003</v>
      </c>
    </row>
    <row r="25" spans="1:11" x14ac:dyDescent="0.3">
      <c r="A25" s="1" t="s">
        <v>30</v>
      </c>
      <c r="B25" s="1" t="s">
        <v>40</v>
      </c>
      <c r="C25" s="1" t="s">
        <v>35</v>
      </c>
      <c r="D25" s="1">
        <v>9303</v>
      </c>
      <c r="E25" s="1">
        <v>4</v>
      </c>
      <c r="F25" s="1">
        <v>359</v>
      </c>
      <c r="G25" s="1">
        <v>461</v>
      </c>
      <c r="H25" s="1">
        <v>306</v>
      </c>
      <c r="I25" s="1">
        <v>260</v>
      </c>
      <c r="J25" s="1">
        <v>224</v>
      </c>
      <c r="K25" s="1">
        <f t="shared" si="0"/>
        <v>83.727000000000004</v>
      </c>
    </row>
    <row r="26" spans="1:11" x14ac:dyDescent="0.3">
      <c r="A26" s="1"/>
      <c r="B26" s="1"/>
      <c r="C26" s="1"/>
      <c r="D26" s="1">
        <f>SUM(D2:D25)</f>
        <v>1680765</v>
      </c>
      <c r="E26" s="1">
        <f t="shared" ref="E26:J26" si="1">SUM(E2:E25)</f>
        <v>2187</v>
      </c>
      <c r="F26" s="1">
        <f t="shared" si="1"/>
        <v>161932</v>
      </c>
      <c r="G26" s="1">
        <f t="shared" si="1"/>
        <v>179541</v>
      </c>
      <c r="H26" s="1">
        <f t="shared" si="1"/>
        <v>132955</v>
      </c>
      <c r="I26" s="1">
        <f t="shared" si="1"/>
        <v>115987</v>
      </c>
      <c r="J26" s="1">
        <f t="shared" si="1"/>
        <v>104124</v>
      </c>
      <c r="K26" s="1">
        <f t="shared" si="0"/>
        <v>15126.885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469781-0a98-4f60-8d82-196299fa25d9">
      <Terms xmlns="http://schemas.microsoft.com/office/infopath/2007/PartnerControls"/>
    </lcf76f155ced4ddcb4097134ff3c332f>
    <TaxCatchAll xmlns="faed5d58-a475-468d-840a-49f6881a0ff9" xsi:nil="true"/>
    <ArchiverLinkFileType xmlns="fb469781-0a98-4f60-8d82-196299fa25d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7AF28465E93749BF15A3016E5EBFF8" ma:contentTypeVersion="559" ma:contentTypeDescription="Create a new document." ma:contentTypeScope="" ma:versionID="1b04a3ba16dff14e555e8e45e4181620">
  <xsd:schema xmlns:xsd="http://www.w3.org/2001/XMLSchema" xmlns:xs="http://www.w3.org/2001/XMLSchema" xmlns:p="http://schemas.microsoft.com/office/2006/metadata/properties" xmlns:ns2="fb469781-0a98-4f60-8d82-196299fa25d9" xmlns:ns3="faed5d58-a475-468d-840a-49f6881a0ff9" targetNamespace="http://schemas.microsoft.com/office/2006/metadata/properties" ma:root="true" ma:fieldsID="3e92acb900a1bcb59ecfc619510149d7" ns2:_="" ns3:_="">
    <xsd:import namespace="fb469781-0a98-4f60-8d82-196299fa25d9"/>
    <xsd:import namespace="faed5d58-a475-468d-840a-49f6881a0f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469781-0a98-4f60-8d82-196299fa25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rchiverLinkFileType" ma:index="26" nillable="true" ma:displayName="ArchiverLinkFileType" ma:hidden="true" ma:internalName="ArchiverLinkFileType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d5d58-a475-468d-840a-49f6881a0ff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d7bb22f-3826-4361-831a-3291f422e939}" ma:internalName="TaxCatchAll" ma:showField="CatchAllData" ma:web="faed5d58-a475-468d-840a-49f6881a0f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C683C0-1F6B-4B3F-A0FE-B190B0C152DD}">
  <ds:schemaRefs>
    <ds:schemaRef ds:uri="http://schemas.microsoft.com/office/2006/metadata/properties"/>
    <ds:schemaRef ds:uri="http://schemas.microsoft.com/office/infopath/2007/PartnerControls"/>
    <ds:schemaRef ds:uri="fb469781-0a98-4f60-8d82-196299fa25d9"/>
    <ds:schemaRef ds:uri="faed5d58-a475-468d-840a-49f6881a0ff9"/>
  </ds:schemaRefs>
</ds:datastoreItem>
</file>

<file path=customXml/itemProps2.xml><?xml version="1.0" encoding="utf-8"?>
<ds:datastoreItem xmlns:ds="http://schemas.openxmlformats.org/officeDocument/2006/customXml" ds:itemID="{0D70785D-3FF6-48EF-988F-B0D1F14AD9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DD2760-F9F3-41EE-8DCD-5649757B0E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469781-0a98-4f60-8d82-196299fa25d9"/>
    <ds:schemaRef ds:uri="faed5d58-a475-468d-840a-49f6881a0f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YouTube Ad</vt:lpstr>
      <vt:lpstr>Strategy Device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Priscilla Tan</dc:creator>
  <cp:lastModifiedBy>Priscilla Tan</cp:lastModifiedBy>
  <dcterms:created xsi:type="dcterms:W3CDTF">2015-06-05T18:17:20Z</dcterms:created>
  <dcterms:modified xsi:type="dcterms:W3CDTF">2025-09-09T12:23:32Z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0x0101007A7AF28465E93749BF15A3016E5EBFF8</vt:lpwstr>
  </property>
  <property fmtid="{D5CDD505-2E9C-101B-9397-08002B2CF9AE}" pid="3" name="MediaServiceImageTags">
    <vt:lpwstr/>
  </property>
</Properties>
</file>